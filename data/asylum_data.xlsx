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KU\Materials_SA_9.24\refugee_did_submission_2026-09-24_v4\data\"/>
    </mc:Choice>
  </mc:AlternateContent>
  <xr:revisionPtr revIDLastSave="0" documentId="13_ncr:1_{ED2A928C-A756-42F4-AD50-54C7E20DEA10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2015" sheetId="1" r:id="rId1"/>
    <sheet name="2022" sheetId="2" r:id="rId2"/>
  </sheets>
  <definedNames>
    <definedName name="_xlnm._FilterDatabase" localSheetId="0" hidden="1">'2015'!$A$1:$D$1</definedName>
    <definedName name="_xlnm._FilterDatabase" localSheetId="1" hidden="1">'2022'!$A$1:$D$1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2" l="1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<sst xmlns="http://schemas.openxmlformats.org/spreadsheetml/2006/main" count="72" uniqueCount="38">
  <si>
    <t>year</t>
  </si>
  <si>
    <t>host_country</t>
  </si>
  <si>
    <t>first_time_applicants_total</t>
  </si>
  <si>
    <t>population</t>
  </si>
  <si>
    <t>first_time_applicants_ukrainian</t>
  </si>
  <si>
    <t>non-Ukrainian_first_time_applicant</t>
  </si>
  <si>
    <t>Armenia</t>
  </si>
  <si>
    <t>Austria</t>
  </si>
  <si>
    <t>Azerbaijan</t>
  </si>
  <si>
    <t>Belgium</t>
  </si>
  <si>
    <t>Bulgaria</t>
  </si>
  <si>
    <t>Croatia</t>
  </si>
  <si>
    <t>Denmark</t>
  </si>
  <si>
    <t>Finland</t>
  </si>
  <si>
    <t>France</t>
  </si>
  <si>
    <t>Georgia</t>
  </si>
  <si>
    <t>Germany</t>
  </si>
  <si>
    <t>Greece</t>
  </si>
  <si>
    <t>Hungary</t>
  </si>
  <si>
    <t>Ireland</t>
  </si>
  <si>
    <t>Italy</t>
  </si>
  <si>
    <t>Latvia</t>
  </si>
  <si>
    <t>Luxembourg</t>
  </si>
  <si>
    <t>Netherlands</t>
  </si>
  <si>
    <t>Norway</t>
  </si>
  <si>
    <t>Poland</t>
  </si>
  <si>
    <t>Portugal</t>
  </si>
  <si>
    <t>Romania</t>
  </si>
  <si>
    <t>Russia</t>
  </si>
  <si>
    <t>Serbia</t>
  </si>
  <si>
    <t>Slovakia</t>
  </si>
  <si>
    <t>Spain</t>
  </si>
  <si>
    <t>Sweden</t>
  </si>
  <si>
    <t>Switzerland</t>
  </si>
  <si>
    <t>United Kingdom</t>
  </si>
  <si>
    <t>Turkey</t>
  </si>
  <si>
    <t>Ukraine</t>
  </si>
  <si>
    <t>first_time_applicants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</si>
</sst>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workbookViewId="0">
      <selection activeCell="B36" sqref="B36"/>
    </sheetView>
  </sheetViews>
  <sheetFormatPr defaultRowHeight="13.5" x14ac:dyDescent="0.3"/>
  <cols>
    <col min="2" max="2" width="25.86328125" customWidth="1"/>
    <col min="3" max="3" width="22.19921875" customWidth="1"/>
    <col min="4" max="4" width="40.73046875" customWidth="1"/>
  </cols>
  <sheetData>
    <row r="1" spans="1:4" ht="14.25" x14ac:dyDescent="0.4">
      <c r="A1" s="1" t="s">
        <v>0</v>
      </c>
      <c r="B1" s="1" t="s">
        <v>1</v>
      </c>
      <c r="C1" s="1" t="s">
        <v>37</v>
      </c>
      <c r="D1" s="1" t="s">
        <v>3</v>
      </c>
    </row>
    <row r="2" spans="1:4" ht="14.25" x14ac:dyDescent="0.4">
      <c r="A2" s="1">
        <v>2015</v>
      </c>
      <c r="B2" s="1" t="s">
        <v>6</v>
      </c>
      <c r="C2" s="1">
        <v>306</v>
      </c>
      <c r="D2" s="1">
        <v>3004600</v>
      </c>
    </row>
    <row r="3" spans="1:4" ht="14.25" x14ac:dyDescent="0.4">
      <c r="A3" s="1">
        <v>2015</v>
      </c>
      <c r="B3" s="1" t="s">
        <v>7</v>
      </c>
      <c r="C3" s="1">
        <v>85783</v>
      </c>
      <c r="D3" s="1">
        <v>8642699</v>
      </c>
    </row>
    <row r="4" spans="1:4" ht="14.25" x14ac:dyDescent="0.4">
      <c r="A4" s="1">
        <v>2015</v>
      </c>
      <c r="B4" s="1" t="s">
        <v>8</v>
      </c>
      <c r="C4" s="1">
        <v>247</v>
      </c>
      <c r="D4" s="1">
        <v>9649341</v>
      </c>
    </row>
    <row r="5" spans="1:4" ht="14.25" x14ac:dyDescent="0.4">
      <c r="A5" s="1">
        <v>2015</v>
      </c>
      <c r="B5" s="1" t="s">
        <v>9</v>
      </c>
      <c r="C5" s="1">
        <v>39038</v>
      </c>
      <c r="D5" s="1">
        <v>11274196</v>
      </c>
    </row>
    <row r="6" spans="1:4" ht="14.25" x14ac:dyDescent="0.4">
      <c r="A6" s="1">
        <v>2015</v>
      </c>
      <c r="B6" s="1" t="s">
        <v>10</v>
      </c>
      <c r="C6" s="1">
        <v>20152</v>
      </c>
      <c r="D6" s="1">
        <v>6984225</v>
      </c>
    </row>
    <row r="7" spans="1:4" ht="14.25" x14ac:dyDescent="0.4">
      <c r="A7" s="1">
        <v>2015</v>
      </c>
      <c r="B7" s="1" t="s">
        <v>11</v>
      </c>
      <c r="C7" s="1">
        <v>206</v>
      </c>
      <c r="D7" s="1">
        <v>4151725</v>
      </c>
    </row>
    <row r="8" spans="1:4" ht="14.25" x14ac:dyDescent="0.4">
      <c r="A8" s="1">
        <v>2015</v>
      </c>
      <c r="B8" s="1" t="s">
        <v>12</v>
      </c>
      <c r="C8" s="1">
        <v>21302</v>
      </c>
      <c r="D8" s="1">
        <v>5683483</v>
      </c>
    </row>
    <row r="9" spans="1:4" ht="14.25" x14ac:dyDescent="0.4">
      <c r="A9" s="1">
        <v>2015</v>
      </c>
      <c r="B9" s="1" t="s">
        <v>13</v>
      </c>
      <c r="C9" s="1">
        <v>29226</v>
      </c>
      <c r="D9" s="1">
        <v>5479531</v>
      </c>
    </row>
    <row r="10" spans="1:4" ht="14.25" x14ac:dyDescent="0.4">
      <c r="A10" s="1">
        <v>2015</v>
      </c>
      <c r="B10" s="1" t="s">
        <v>14</v>
      </c>
      <c r="C10" s="1">
        <v>74178</v>
      </c>
      <c r="D10" s="1">
        <v>66548272</v>
      </c>
    </row>
    <row r="11" spans="1:4" ht="14.25" x14ac:dyDescent="0.4">
      <c r="A11" s="1">
        <v>2015</v>
      </c>
      <c r="B11" s="1" t="s">
        <v>15</v>
      </c>
      <c r="C11" s="1">
        <v>1447</v>
      </c>
      <c r="D11" s="1">
        <v>3725276</v>
      </c>
    </row>
    <row r="12" spans="1:4" ht="14.25" x14ac:dyDescent="0.4">
      <c r="A12" s="1">
        <v>2015</v>
      </c>
      <c r="B12" s="1" t="s">
        <v>16</v>
      </c>
      <c r="C12" s="1">
        <v>441898</v>
      </c>
      <c r="D12" s="1">
        <v>81686611</v>
      </c>
    </row>
    <row r="13" spans="1:4" ht="14.25" x14ac:dyDescent="0.4">
      <c r="A13" s="1">
        <v>2015</v>
      </c>
      <c r="B13" s="1" t="s">
        <v>17</v>
      </c>
      <c r="C13" s="1">
        <v>11331</v>
      </c>
      <c r="D13" s="1">
        <v>10820883</v>
      </c>
    </row>
    <row r="14" spans="1:4" ht="14.25" x14ac:dyDescent="0.4">
      <c r="A14" s="1">
        <v>2015</v>
      </c>
      <c r="B14" s="1" t="s">
        <v>18</v>
      </c>
      <c r="C14" s="1">
        <v>174400</v>
      </c>
      <c r="D14" s="1">
        <v>9797755</v>
      </c>
    </row>
    <row r="15" spans="1:4" ht="14.25" x14ac:dyDescent="0.4">
      <c r="A15" s="1">
        <v>2015</v>
      </c>
      <c r="B15" s="1" t="s">
        <v>19</v>
      </c>
      <c r="C15" s="1">
        <v>3262</v>
      </c>
      <c r="D15" s="1">
        <v>4701957</v>
      </c>
    </row>
    <row r="16" spans="1:4" ht="14.25" x14ac:dyDescent="0.4">
      <c r="A16" s="1">
        <v>2015</v>
      </c>
      <c r="B16" s="1" t="s">
        <v>20</v>
      </c>
      <c r="C16" s="1">
        <v>83225</v>
      </c>
      <c r="D16" s="1">
        <v>60229605</v>
      </c>
    </row>
    <row r="17" spans="1:4" ht="14.25" x14ac:dyDescent="0.4">
      <c r="A17" s="1">
        <v>2015</v>
      </c>
      <c r="B17" s="1" t="s">
        <v>21</v>
      </c>
      <c r="C17" s="1">
        <v>319</v>
      </c>
      <c r="D17" s="1">
        <v>1977527</v>
      </c>
    </row>
    <row r="18" spans="1:4" ht="14.25" x14ac:dyDescent="0.4">
      <c r="A18" s="1">
        <v>2015</v>
      </c>
      <c r="B18" s="1" t="s">
        <v>22</v>
      </c>
      <c r="C18" s="1">
        <v>2286</v>
      </c>
      <c r="D18" s="1">
        <v>569604</v>
      </c>
    </row>
    <row r="19" spans="1:4" ht="14.25" x14ac:dyDescent="0.4">
      <c r="A19" s="1">
        <v>2015</v>
      </c>
      <c r="B19" s="1" t="s">
        <v>23</v>
      </c>
      <c r="C19" s="1">
        <v>43042</v>
      </c>
      <c r="D19" s="1">
        <v>16939923</v>
      </c>
    </row>
    <row r="20" spans="1:4" ht="14.25" x14ac:dyDescent="0.4">
      <c r="A20" s="1">
        <v>2015</v>
      </c>
      <c r="B20" s="1" t="s">
        <v>24</v>
      </c>
      <c r="C20" s="1">
        <v>30503</v>
      </c>
      <c r="D20" s="1">
        <v>5188607</v>
      </c>
    </row>
    <row r="21" spans="1:4" ht="14.25" x14ac:dyDescent="0.4">
      <c r="A21" s="1">
        <v>2015</v>
      </c>
      <c r="B21" s="1" t="s">
        <v>25</v>
      </c>
      <c r="C21" s="1">
        <v>10342</v>
      </c>
      <c r="D21" s="1">
        <v>37986412</v>
      </c>
    </row>
    <row r="22" spans="1:4" ht="14.25" x14ac:dyDescent="0.4">
      <c r="A22" s="1">
        <v>2015</v>
      </c>
      <c r="B22" s="1" t="s">
        <v>26</v>
      </c>
      <c r="C22" s="1">
        <v>877</v>
      </c>
      <c r="D22" s="1">
        <v>10358076</v>
      </c>
    </row>
    <row r="23" spans="1:4" ht="14.25" x14ac:dyDescent="0.4">
      <c r="A23" s="1">
        <v>2015</v>
      </c>
      <c r="B23" s="1" t="s">
        <v>27</v>
      </c>
      <c r="C23" s="1">
        <v>1246</v>
      </c>
      <c r="D23" s="1">
        <v>19815616</v>
      </c>
    </row>
    <row r="24" spans="1:4" ht="14.25" x14ac:dyDescent="0.4">
      <c r="A24" s="1">
        <v>2015</v>
      </c>
      <c r="B24" s="1" t="s">
        <v>28</v>
      </c>
      <c r="C24" s="1">
        <v>1337</v>
      </c>
      <c r="D24" s="1">
        <v>144640716</v>
      </c>
    </row>
    <row r="25" spans="1:4" ht="14.25" x14ac:dyDescent="0.4">
      <c r="A25" s="1">
        <v>2015</v>
      </c>
      <c r="B25" s="1" t="s">
        <v>29</v>
      </c>
      <c r="C25" s="1">
        <v>636</v>
      </c>
      <c r="D25" s="1">
        <v>7095383</v>
      </c>
    </row>
    <row r="26" spans="1:4" ht="14.25" x14ac:dyDescent="0.4">
      <c r="A26" s="1">
        <v>2015</v>
      </c>
      <c r="B26" s="1" t="s">
        <v>30</v>
      </c>
      <c r="C26" s="1">
        <v>261</v>
      </c>
      <c r="D26" s="1">
        <v>5423801</v>
      </c>
    </row>
    <row r="27" spans="1:4" ht="14.25" x14ac:dyDescent="0.4">
      <c r="A27" s="1">
        <v>2015</v>
      </c>
      <c r="B27" s="1" t="s">
        <v>31</v>
      </c>
      <c r="C27" s="1">
        <v>14868</v>
      </c>
      <c r="D27" s="1">
        <v>46422303</v>
      </c>
    </row>
    <row r="28" spans="1:4" ht="14.25" x14ac:dyDescent="0.4">
      <c r="A28" s="1">
        <v>2015</v>
      </c>
      <c r="B28" s="1" t="s">
        <v>32</v>
      </c>
      <c r="C28" s="1">
        <v>156330</v>
      </c>
      <c r="D28" s="1">
        <v>9799186</v>
      </c>
    </row>
    <row r="29" spans="1:4" ht="14.25" x14ac:dyDescent="0.4">
      <c r="A29" s="1">
        <v>2015</v>
      </c>
      <c r="B29" s="1" t="s">
        <v>33</v>
      </c>
      <c r="C29" s="1">
        <v>38099</v>
      </c>
      <c r="D29" s="1">
        <v>8282396</v>
      </c>
    </row>
    <row r="30" spans="1:4" ht="14.25" x14ac:dyDescent="0.4">
      <c r="A30" s="1">
        <v>2015</v>
      </c>
      <c r="B30" s="1" t="s">
        <v>36</v>
      </c>
      <c r="C30" s="1">
        <v>1410</v>
      </c>
      <c r="D30" s="1">
        <v>45784896</v>
      </c>
    </row>
    <row r="31" spans="1:4" ht="14.25" x14ac:dyDescent="0.4">
      <c r="A31" s="1">
        <v>2015</v>
      </c>
      <c r="B31" s="1" t="s">
        <v>34</v>
      </c>
      <c r="C31" s="1">
        <v>38855</v>
      </c>
      <c r="D31" s="1">
        <v>65088000</v>
      </c>
    </row>
    <row r="32" spans="1:4" ht="14.25" x14ac:dyDescent="0.4">
      <c r="A32" s="1">
        <v>2015</v>
      </c>
      <c r="B32" s="1" t="s">
        <v>35</v>
      </c>
      <c r="C32" s="1">
        <v>133306</v>
      </c>
      <c r="D32" s="1">
        <v>78218479</v>
      </c>
    </row>
    <row r="36" spans="2:2" ht="14.25" x14ac:dyDescent="0.4">
      <c r="B36" s="1"/>
    </row>
  </sheetData>
  <autoFilter ref="A1:D1" xr:uid="{00000000-0009-0000-0000-000000000000}">
    <sortState xmlns:xlrd2="http://schemas.microsoft.com/office/spreadsheetml/2017/richdata2" ref="A2:D32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tabSelected="1" workbookViewId="0">
      <selection activeCell="L24" sqref="L24"/>
    </sheetView>
  </sheetViews>
  <sheetFormatPr defaultRowHeight="13.5" x14ac:dyDescent="0.3"/>
  <cols>
    <col min="3" max="3" width="26.53125" customWidth="1"/>
    <col min="4" max="4" width="16.73046875" customWidth="1"/>
    <col min="5" max="5" width="21.265625" customWidth="1"/>
  </cols>
  <sheetData>
    <row r="1" spans="1:6" ht="14.2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x14ac:dyDescent="0.4">
      <c r="A2" s="1">
        <v>2022</v>
      </c>
      <c r="B2" s="1" t="s">
        <v>6</v>
      </c>
      <c r="C2" s="1">
        <v>965</v>
      </c>
      <c r="D2" s="1">
        <v>2969200</v>
      </c>
      <c r="E2">
        <v>485</v>
      </c>
      <c r="F2">
        <f t="shared" ref="F2:F32" si="0">C2-E2</f>
        <v>480</v>
      </c>
    </row>
    <row r="3" spans="1:6" ht="14.25" x14ac:dyDescent="0.4">
      <c r="A3" s="1">
        <v>2022</v>
      </c>
      <c r="B3" s="1" t="s">
        <v>7</v>
      </c>
      <c r="C3" s="1">
        <v>109773</v>
      </c>
      <c r="D3" s="1">
        <v>9041851</v>
      </c>
      <c r="E3">
        <v>532</v>
      </c>
      <c r="F3">
        <f t="shared" si="0"/>
        <v>109241</v>
      </c>
    </row>
    <row r="4" spans="1:6" ht="14.25" x14ac:dyDescent="0.4">
      <c r="A4" s="1">
        <v>2022</v>
      </c>
      <c r="B4" s="1" t="s">
        <v>8</v>
      </c>
      <c r="C4" s="1">
        <v>297</v>
      </c>
      <c r="D4" s="1">
        <v>10141756</v>
      </c>
      <c r="E4">
        <v>93</v>
      </c>
      <c r="F4">
        <f t="shared" si="0"/>
        <v>204</v>
      </c>
    </row>
    <row r="5" spans="1:6" ht="14.25" x14ac:dyDescent="0.4">
      <c r="A5" s="1">
        <v>2022</v>
      </c>
      <c r="B5" s="1" t="s">
        <v>9</v>
      </c>
      <c r="C5" s="1">
        <v>32202</v>
      </c>
      <c r="D5" s="1">
        <v>11680210</v>
      </c>
      <c r="E5">
        <v>685</v>
      </c>
      <c r="F5">
        <f t="shared" si="0"/>
        <v>31517</v>
      </c>
    </row>
    <row r="6" spans="1:6" ht="14.25" x14ac:dyDescent="0.4">
      <c r="A6" s="1">
        <v>2022</v>
      </c>
      <c r="B6" s="1" t="s">
        <v>10</v>
      </c>
      <c r="C6" s="1">
        <v>20260</v>
      </c>
      <c r="D6" s="1">
        <v>6465097</v>
      </c>
      <c r="E6">
        <v>1285</v>
      </c>
      <c r="F6">
        <f t="shared" si="0"/>
        <v>18975</v>
      </c>
    </row>
    <row r="7" spans="1:6" ht="14.25" x14ac:dyDescent="0.4">
      <c r="A7" s="1">
        <v>2022</v>
      </c>
      <c r="B7" s="1" t="s">
        <v>11</v>
      </c>
      <c r="C7" s="1">
        <v>2673</v>
      </c>
      <c r="D7" s="1">
        <v>3855641</v>
      </c>
      <c r="E7">
        <v>0</v>
      </c>
      <c r="F7">
        <f t="shared" si="0"/>
        <v>2673</v>
      </c>
    </row>
    <row r="8" spans="1:6" ht="14.25" x14ac:dyDescent="0.4">
      <c r="A8" s="1">
        <v>2022</v>
      </c>
      <c r="B8" s="1" t="s">
        <v>12</v>
      </c>
      <c r="C8" s="1">
        <v>4483</v>
      </c>
      <c r="D8" s="1">
        <v>5903037</v>
      </c>
      <c r="E8">
        <v>2065</v>
      </c>
      <c r="F8">
        <f t="shared" si="0"/>
        <v>2418</v>
      </c>
    </row>
    <row r="9" spans="1:6" ht="14.25" x14ac:dyDescent="0.4">
      <c r="A9" s="1">
        <v>2022</v>
      </c>
      <c r="B9" s="1" t="s">
        <v>13</v>
      </c>
      <c r="C9" s="1">
        <v>4812</v>
      </c>
      <c r="D9" s="1">
        <v>5556106</v>
      </c>
      <c r="E9">
        <v>1710</v>
      </c>
      <c r="F9">
        <f t="shared" si="0"/>
        <v>3102</v>
      </c>
    </row>
    <row r="10" spans="1:6" ht="14.25" x14ac:dyDescent="0.4">
      <c r="A10" s="1">
        <v>2022</v>
      </c>
      <c r="B10" s="1" t="s">
        <v>14</v>
      </c>
      <c r="C10" s="1">
        <v>137605</v>
      </c>
      <c r="D10" s="1">
        <v>68184457</v>
      </c>
      <c r="E10">
        <v>1770</v>
      </c>
      <c r="F10">
        <f t="shared" si="0"/>
        <v>135835</v>
      </c>
    </row>
    <row r="11" spans="1:6" ht="14.25" x14ac:dyDescent="0.4">
      <c r="A11" s="1">
        <v>2022</v>
      </c>
      <c r="B11" s="1" t="s">
        <v>15</v>
      </c>
      <c r="C11" s="1">
        <v>1448</v>
      </c>
      <c r="D11" s="1">
        <v>3712502</v>
      </c>
      <c r="E11">
        <v>516</v>
      </c>
      <c r="F11">
        <f t="shared" si="0"/>
        <v>932</v>
      </c>
    </row>
    <row r="12" spans="1:6" ht="14.25" x14ac:dyDescent="0.4">
      <c r="A12" s="1">
        <v>2022</v>
      </c>
      <c r="B12" s="1" t="s">
        <v>16</v>
      </c>
      <c r="C12" s="1">
        <v>217759</v>
      </c>
      <c r="D12" s="1">
        <v>83177813</v>
      </c>
      <c r="E12">
        <v>705</v>
      </c>
      <c r="F12">
        <f t="shared" si="0"/>
        <v>217054</v>
      </c>
    </row>
    <row r="13" spans="1:6" ht="14.25" x14ac:dyDescent="0.4">
      <c r="A13" s="1">
        <v>2022</v>
      </c>
      <c r="B13" s="1" t="s">
        <v>17</v>
      </c>
      <c r="C13" s="1">
        <v>29074</v>
      </c>
      <c r="D13" s="1">
        <v>10436882</v>
      </c>
      <c r="E13">
        <v>125</v>
      </c>
      <c r="F13">
        <f t="shared" si="0"/>
        <v>28949</v>
      </c>
    </row>
    <row r="14" spans="1:6" ht="14.25" x14ac:dyDescent="0.4">
      <c r="A14" s="1">
        <v>2022</v>
      </c>
      <c r="B14" s="1" t="s">
        <v>18</v>
      </c>
      <c r="C14" s="1">
        <v>30</v>
      </c>
      <c r="D14" s="1">
        <v>9605074</v>
      </c>
      <c r="E14">
        <v>0</v>
      </c>
      <c r="F14">
        <f t="shared" si="0"/>
        <v>30</v>
      </c>
    </row>
    <row r="15" spans="1:6" ht="14.25" x14ac:dyDescent="0.4">
      <c r="A15" s="1">
        <v>2022</v>
      </c>
      <c r="B15" s="1" t="s">
        <v>19</v>
      </c>
      <c r="C15" s="1">
        <v>13643</v>
      </c>
      <c r="D15" s="1">
        <v>5212836</v>
      </c>
      <c r="E15">
        <v>420</v>
      </c>
      <c r="F15">
        <f t="shared" si="0"/>
        <v>13223</v>
      </c>
    </row>
    <row r="16" spans="1:6" ht="14.25" x14ac:dyDescent="0.4">
      <c r="A16" s="1">
        <v>2022</v>
      </c>
      <c r="B16" s="1" t="s">
        <v>20</v>
      </c>
      <c r="C16" s="1">
        <v>76910</v>
      </c>
      <c r="D16" s="1">
        <v>59013667</v>
      </c>
      <c r="E16">
        <v>2995</v>
      </c>
      <c r="F16">
        <f t="shared" si="0"/>
        <v>73915</v>
      </c>
    </row>
    <row r="17" spans="1:6" ht="14.25" x14ac:dyDescent="0.4">
      <c r="A17" s="1">
        <v>2022</v>
      </c>
      <c r="B17" s="1" t="s">
        <v>21</v>
      </c>
      <c r="C17" s="1">
        <v>541</v>
      </c>
      <c r="D17" s="1">
        <v>1879383</v>
      </c>
      <c r="E17">
        <v>20</v>
      </c>
      <c r="F17">
        <f t="shared" si="0"/>
        <v>521</v>
      </c>
    </row>
    <row r="18" spans="1:6" ht="14.25" x14ac:dyDescent="0.4">
      <c r="A18" s="1">
        <v>2022</v>
      </c>
      <c r="B18" s="1" t="s">
        <v>22</v>
      </c>
      <c r="C18" s="1">
        <v>2210</v>
      </c>
      <c r="D18" s="1">
        <v>653103</v>
      </c>
      <c r="E18">
        <v>10</v>
      </c>
      <c r="F18">
        <f t="shared" si="0"/>
        <v>2200</v>
      </c>
    </row>
    <row r="19" spans="1:6" ht="14.25" x14ac:dyDescent="0.4">
      <c r="A19" s="1">
        <v>2022</v>
      </c>
      <c r="B19" s="1" t="s">
        <v>23</v>
      </c>
      <c r="C19" s="1">
        <v>35476</v>
      </c>
      <c r="D19" s="1">
        <v>17700982</v>
      </c>
      <c r="E19">
        <v>1060</v>
      </c>
      <c r="F19">
        <f t="shared" si="0"/>
        <v>34416</v>
      </c>
    </row>
    <row r="20" spans="1:6" ht="14.25" x14ac:dyDescent="0.4">
      <c r="A20" s="1">
        <v>2022</v>
      </c>
      <c r="B20" s="1" t="s">
        <v>24</v>
      </c>
      <c r="C20" s="1">
        <v>4350</v>
      </c>
      <c r="D20" s="1">
        <v>5457127</v>
      </c>
      <c r="E20">
        <v>750</v>
      </c>
      <c r="F20">
        <f t="shared" si="0"/>
        <v>3600</v>
      </c>
    </row>
    <row r="21" spans="1:6" ht="14.25" x14ac:dyDescent="0.4">
      <c r="A21" s="1">
        <v>2022</v>
      </c>
      <c r="B21" s="1" t="s">
        <v>25</v>
      </c>
      <c r="C21" s="1">
        <v>7888</v>
      </c>
      <c r="D21" s="1">
        <v>36821749</v>
      </c>
      <c r="E21">
        <v>1505</v>
      </c>
      <c r="F21">
        <f t="shared" si="0"/>
        <v>6383</v>
      </c>
    </row>
    <row r="22" spans="1:6" ht="14.25" x14ac:dyDescent="0.4">
      <c r="A22" s="1">
        <v>2022</v>
      </c>
      <c r="B22" s="1" t="s">
        <v>26</v>
      </c>
      <c r="C22" s="1">
        <v>1976</v>
      </c>
      <c r="D22" s="1">
        <v>10434332</v>
      </c>
      <c r="E22">
        <v>165</v>
      </c>
      <c r="F22">
        <f t="shared" si="0"/>
        <v>1811</v>
      </c>
    </row>
    <row r="23" spans="1:6" ht="14.25" x14ac:dyDescent="0.4">
      <c r="A23" s="1">
        <v>2022</v>
      </c>
      <c r="B23" s="1" t="s">
        <v>27</v>
      </c>
      <c r="C23" s="1">
        <v>12342</v>
      </c>
      <c r="D23" s="1">
        <v>19048502</v>
      </c>
      <c r="E23">
        <v>4365</v>
      </c>
      <c r="F23">
        <f t="shared" si="0"/>
        <v>7977</v>
      </c>
    </row>
    <row r="24" spans="1:6" ht="14.25" x14ac:dyDescent="0.4">
      <c r="A24" s="1">
        <v>2022</v>
      </c>
      <c r="B24" s="1" t="s">
        <v>28</v>
      </c>
      <c r="C24" s="1">
        <v>102956</v>
      </c>
      <c r="D24" s="1">
        <v>144236933</v>
      </c>
      <c r="E24">
        <v>100833</v>
      </c>
      <c r="F24">
        <f t="shared" si="0"/>
        <v>2123</v>
      </c>
    </row>
    <row r="25" spans="1:6" ht="14.25" x14ac:dyDescent="0.4">
      <c r="A25" s="1">
        <v>2022</v>
      </c>
      <c r="B25" s="1" t="s">
        <v>29</v>
      </c>
      <c r="C25" s="1">
        <v>874</v>
      </c>
      <c r="D25" s="1">
        <v>6664449</v>
      </c>
      <c r="E25">
        <v>12</v>
      </c>
      <c r="F25">
        <f t="shared" si="0"/>
        <v>862</v>
      </c>
    </row>
    <row r="26" spans="1:6" ht="14.25" x14ac:dyDescent="0.4">
      <c r="A26" s="1">
        <v>2022</v>
      </c>
      <c r="B26" s="1" t="s">
        <v>30</v>
      </c>
      <c r="C26" s="1">
        <v>490</v>
      </c>
      <c r="D26" s="1">
        <v>5431752</v>
      </c>
      <c r="E26">
        <v>150</v>
      </c>
      <c r="F26">
        <f t="shared" si="0"/>
        <v>340</v>
      </c>
    </row>
    <row r="27" spans="1:6" ht="14.25" x14ac:dyDescent="0.4">
      <c r="A27" s="1">
        <v>2022</v>
      </c>
      <c r="B27" s="1" t="s">
        <v>31</v>
      </c>
      <c r="C27" s="1">
        <v>118810</v>
      </c>
      <c r="D27" s="1">
        <v>47786102</v>
      </c>
      <c r="E27">
        <v>195</v>
      </c>
      <c r="F27">
        <f t="shared" si="0"/>
        <v>118615</v>
      </c>
    </row>
    <row r="28" spans="1:6" ht="14.25" x14ac:dyDescent="0.4">
      <c r="A28" s="1">
        <v>2022</v>
      </c>
      <c r="B28" s="1" t="s">
        <v>32</v>
      </c>
      <c r="C28" s="1">
        <v>12092</v>
      </c>
      <c r="D28" s="1">
        <v>10486941</v>
      </c>
      <c r="E28">
        <v>1785</v>
      </c>
      <c r="F28">
        <f t="shared" si="0"/>
        <v>10307</v>
      </c>
    </row>
    <row r="29" spans="1:6" ht="14.25" x14ac:dyDescent="0.4">
      <c r="A29" s="1">
        <v>2022</v>
      </c>
      <c r="B29" s="1" t="s">
        <v>33</v>
      </c>
      <c r="C29" s="1">
        <v>23132</v>
      </c>
      <c r="D29" s="1">
        <v>8777088</v>
      </c>
      <c r="E29">
        <v>24</v>
      </c>
      <c r="F29">
        <f t="shared" si="0"/>
        <v>23108</v>
      </c>
    </row>
    <row r="30" spans="1:6" ht="14.25" x14ac:dyDescent="0.4">
      <c r="A30" s="1">
        <v>2022</v>
      </c>
      <c r="B30" s="1" t="s">
        <v>34</v>
      </c>
      <c r="C30" s="1">
        <v>89393</v>
      </c>
      <c r="D30" s="1">
        <v>67604000</v>
      </c>
      <c r="E30">
        <v>588</v>
      </c>
      <c r="F30">
        <f t="shared" si="0"/>
        <v>88805</v>
      </c>
    </row>
    <row r="31" spans="1:6" ht="14.25" x14ac:dyDescent="0.4">
      <c r="A31" s="1">
        <v>2022</v>
      </c>
      <c r="B31" s="1" t="s">
        <v>35</v>
      </c>
      <c r="C31" s="1">
        <v>33246</v>
      </c>
      <c r="D31" s="1">
        <v>84979913</v>
      </c>
      <c r="E31">
        <v>7131</v>
      </c>
      <c r="F31">
        <f t="shared" si="0"/>
        <v>26115</v>
      </c>
    </row>
    <row r="32" spans="1:6" ht="14.25" x14ac:dyDescent="0.4">
      <c r="A32" s="1">
        <v>2022</v>
      </c>
      <c r="B32" s="1" t="s">
        <v>36</v>
      </c>
      <c r="C32" s="1">
        <v>220</v>
      </c>
      <c r="D32" s="1">
        <v>41048766</v>
      </c>
      <c r="E32">
        <v>0</v>
      </c>
      <c r="F32">
        <f t="shared" si="0"/>
        <v>220</v>
      </c>
    </row>
    <row r="36" spans="2:2" ht="14.25" x14ac:dyDescent="0.4">
      <c r="B36" s="1"/>
    </row>
  </sheetData>
  <autoFilter ref="A1:D1" xr:uid="{00000000-0009-0000-0000-000001000000}">
    <sortState xmlns:xlrd2="http://schemas.microsoft.com/office/spreadsheetml/2017/richdata2" ref="A2:D30">
      <sortCondition ref="B1"/>
    </sortState>
  </autoFilter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2015</vt:lpstr>
      <vt:lpstr>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程书贞</dc:creator>
  <cp:lastModifiedBy>zhihaoke@connect.hku.hk</cp:lastModifiedBy>
  <dcterms:created xsi:type="dcterms:W3CDTF">2026-01-30T12:43:52Z</dcterms:created>
  <dcterms:modified xsi:type="dcterms:W3CDTF">2026-09-24T16:06:43Z</dcterms:modified>
</cp:coreProperties>
</file>